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indows 10\Downloads\"/>
    </mc:Choice>
  </mc:AlternateContent>
  <xr:revisionPtr revIDLastSave="0" documentId="13_ncr:1_{7E41A6AB-0A0C-4B03-A285-C7AA75DC6F6E}" xr6:coauthVersionLast="47" xr6:coauthVersionMax="47" xr10:uidLastSave="{00000000-0000-0000-0000-000000000000}"/>
  <bookViews>
    <workbookView xWindow="-108" yWindow="-108" windowWidth="23256" windowHeight="12576" tabRatio="849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C28" i="18"/>
  <c r="D28" i="18"/>
  <c r="E28" i="18"/>
  <c r="F28" i="18"/>
  <c r="C29" i="18"/>
  <c r="D29" i="18"/>
  <c r="E29" i="18"/>
  <c r="F29" i="18"/>
  <c r="C30" i="18"/>
  <c r="D30" i="18"/>
  <c r="E30" i="18"/>
  <c r="F30" i="18"/>
  <c r="B30" i="18"/>
  <c r="B29" i="18"/>
  <c r="B28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F6" i="18"/>
  <c r="E6" i="18"/>
  <c r="D6" i="18"/>
  <c r="C6" i="18"/>
  <c r="B6" i="18"/>
  <c r="AB6" i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<sst xmlns="http://schemas.openxmlformats.org/spreadsheetml/2006/main" count="406" uniqueCount="183">
  <si>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</si>
  <si>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</si>
  <si>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</si>
  <si>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</si>
  <si>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</si>
  <si>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</si>
  <si>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</si>
  <si>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</si>
  <si>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</si>
  <si>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</si>
  <si>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</si>
  <si>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</si>
  <si>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</si>
  <si>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</si>
  <si>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</si>
  <si>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</si>
  <si>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</si>
  <si>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</si>
  <si>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</si>
  <si>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</si>
  <si>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</si>
  <si>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</si>
  <si>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</si>
  <si>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</si>
  <si>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</si>
  <si>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</si>
  <si>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</si>
  <si>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</si>
  <si>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</si>
  <si>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</si>
  <si>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</si>
  <si>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</si>
  <si>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</si>
  <si>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</si>
  <si>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</si>
  <si>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</si>
  <si>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</si>
  <si>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</si>
  <si>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</si>
  <si>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</si>
  <si>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</si>
  <si>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</si>
  <si>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</si>
  <si>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</si>
  <si>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</si>
  <si>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</si>
  <si>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</si>
  <si>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</si>
  <si>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</si>
  <si>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</si>
  <si>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</si>
  <si>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</si>
  <si>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</si>
  <si>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</si>
  <si>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</si>
  <si>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</si>
  <si>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</si>
  <si>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</si>
  <si>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</si>
  <si>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</si>
  <si>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</si>
  <si>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</si>
  <si>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</si>
  <si>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</si>
  <si>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</si>
  <si>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</si>
  <si>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</si>
  <si>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</si>
  <si>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</si>
  <si>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</si>
  <si>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</si>
  <si>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</si>
  <si>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</si>
  <si>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</si>
  <si>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</si>
  <si>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</si>
  <si>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</si>
  <si>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</si>
  <si>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</si>
  <si>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</si>
  <si>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</si>
  <si>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</si>
  <si>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</si>
  <si>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</si>
  <si>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</si>
  <si>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</si>
  <si>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</si>
  <si>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</si>
  <si>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</si>
  <si>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</si>
  <si>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</si>
  <si>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</si>
  <si>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</si>
  <si>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</si>
  <si>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</si>
  <si>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</si>
  <si>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</si>
  <si>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</si>
  <si>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</si>
  <si>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</si>
  <si>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</si>
  <si>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</si>
  <si>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</si>
  <si>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</si>
  <si>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</si>
  <si>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</si>
  <si>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</si>
  <si>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</si>
  <si>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</si>
  <si>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</si>
  <si>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</si>
  <si>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</si>
  <si>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</si>
  <si>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</si>
  <si>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</si>
  <si>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</si>
  <si>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</si>
  <si>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</si>
  <si>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</si>
  <si>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</si>
  <si>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</si>
  <si>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</si>
  <si>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</si>
  <si>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</si>
  <si>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</si>
  <si>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</si>
  <si>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</si>
  <si>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</si>
  <si>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</si>
  <si>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</si>
  <si>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</si>
  <si>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</si>
  <si>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</si>
  <si>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</si>
  <si>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</si>
  <si>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</si>
  <si>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</si>
  <si>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</si>
  <si>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</si>
  <si>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</si>
  <si>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</si>
  <si>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</si>
  <si>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</si>
  <si>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</si>
  <si>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</si>
  <si>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</si>
  <si>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</si>
  <si>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</si>
  <si>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</si>
  <si>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</si>
  <si>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</si>
  <si>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</si>
  <si>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</si>
  <si>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</si>
  <si>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</si>
  <si>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</si>
  <si>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</si>
  <si>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</si>
  <si>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</si>
  <si>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</si>
  <si>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</si>
  <si>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</si>
  <si>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</si>
  <si>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</si>
  <si>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</si>
  <si>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</si>
  <si>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</si>
  <si>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</si>
  <si>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</si>
  <si>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</si>
  <si>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</si>
  <si>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</si>
  <si>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</si>
  <si>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</si>
  <si>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</si>
  <si>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</si>
  <si>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</si>
  <si>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</t>
  </si>
  <si>
    <t>SUMIF($H$2:$H$40,"&gt;20")</t>
  </si>
  <si>
    <t>SUMIFS(C12:C21,C12:C21,"&lt;&gt;#N/A")+(COUNTIF(C12:C21,"#N/A")*20)</t>
  </si>
  <si>
    <t>1)SUMIFS(C12:C21,C12:C21,"&lt;&gt;#N/A"): this gives sum of all sales values exclueding "#N/A"
2)(COUNTIF(C12:C21,"#N/A")*20): this counts the number of times "#N/A is there in sales value and multiples it with 20.
3) total formula gives the required results</t>
  </si>
  <si>
    <t>text to column</t>
  </si>
  <si>
    <t>th data in values column are separated by"-", we can use "-" delimiter and searate the data in separate columns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</si>
</sst>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3" fillId="0" borderId="0" xfId="0" applyNumberFormat="1" applyFont="1"/>
    <xf numFmtId="0" fontId="3" fillId="0" borderId="0" xfId="0" applyFont="1" applyAlignment="1">
      <alignment wrapText="1"/>
    </xf>
    <xf numFmtId="0" fontId="15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abSelected="1" zoomScaleNormal="100" workbookViewId="0">
      <selection activeCell="D14" sqref="D14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5" t="s">
        <v>171</v>
      </c>
      <c r="B9" s="25" t="s">
        <v>169</v>
      </c>
    </row>
    <row r="10" spans="1:3" x14ac:dyDescent="0.3">
      <c r="A10" s="34" t="s">
        <v>172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40"/>
  <sheetViews>
    <sheetView zoomScaleNormal="100" workbookViewId="0">
      <pane ySplit="1" topLeftCell="A26" activePane="bottomLeft" state="frozen"/>
      <selection pane="bottomLeft" activeCell="X2" sqref="X2:X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8" s="3" customFormat="1" ht="15.6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8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8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8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8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  <c r="AB5" s="1" t="s">
        <v>177</v>
      </c>
    </row>
    <row r="6" spans="1:28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  <c r="AB6" s="1">
        <f>SUMIF($H$2:$H$40,"&gt;20")</f>
        <v>1473.0000000000002</v>
      </c>
    </row>
    <row r="7" spans="1:28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8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8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8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8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8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8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8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8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8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lessThan">
      <formula>0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178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N30"/>
  <sheetViews>
    <sheetView topLeftCell="A13" zoomScaleNormal="100" workbookViewId="0">
      <selection activeCell="B28" sqref="B28: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14" s="40" customFormat="1" ht="21" x14ac:dyDescent="0.4">
      <c r="A1" s="41" t="s">
        <v>55</v>
      </c>
      <c r="B1" s="40" t="s">
        <v>164</v>
      </c>
    </row>
    <row r="2" spans="1:14" s="40" customFormat="1" ht="21" x14ac:dyDescent="0.4">
      <c r="B2" s="40" t="s">
        <v>161</v>
      </c>
    </row>
    <row r="3" spans="1:14" ht="14.4" x14ac:dyDescent="0.3">
      <c r="A3" s="1"/>
      <c r="B3" s="1"/>
      <c r="C3" s="1"/>
      <c r="D3" s="1"/>
      <c r="E3" s="1"/>
      <c r="F3" s="1"/>
      <c r="G3" s="1"/>
    </row>
    <row r="4" spans="1:14" ht="23.4" x14ac:dyDescent="0.45">
      <c r="A4" s="17" t="s">
        <v>162</v>
      </c>
      <c r="B4" s="1"/>
      <c r="C4" s="1"/>
      <c r="D4" s="1"/>
      <c r="E4" s="1"/>
      <c r="F4" s="1"/>
      <c r="G4" s="1"/>
    </row>
    <row r="5" spans="1:14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14" ht="14.4" x14ac:dyDescent="0.3">
      <c r="A6" s="7" t="s">
        <v>40</v>
      </c>
      <c r="B6" s="11">
        <f>VLOOKUP(A6,Dataset!$A$1:$W$40,$J$6,0)</f>
        <v>2.7</v>
      </c>
      <c r="C6" s="11">
        <f>VLOOKUP(A6,Dataset!$A$1:$W$40,$K$6,0)</f>
        <v>7.6</v>
      </c>
      <c r="D6" s="11">
        <f>VLOOKUP(A6,Dataset!$A$1:$W$40,$L$6,0)</f>
        <v>4.2</v>
      </c>
      <c r="E6" s="11">
        <f>VLOOKUP(A6,Dataset!$A$1:$W$40,$M$6,0)</f>
        <v>8.9</v>
      </c>
      <c r="F6" s="11">
        <f>VLOOKUP(A6,Dataset!$A$1:$W$40,$N$6,0)</f>
        <v>4.2</v>
      </c>
      <c r="J6" s="2">
        <v>7</v>
      </c>
      <c r="K6" s="2">
        <v>14</v>
      </c>
      <c r="L6" s="2">
        <v>18</v>
      </c>
      <c r="M6" s="2">
        <v>20</v>
      </c>
      <c r="N6" s="2">
        <v>22</v>
      </c>
    </row>
    <row r="7" spans="1:14" ht="14.4" x14ac:dyDescent="0.3">
      <c r="A7" s="7" t="s">
        <v>4</v>
      </c>
      <c r="B7" s="11">
        <f>VLOOKUP(A7,Dataset!$A$1:$W$40,$J$6,0)</f>
        <v>2.7</v>
      </c>
      <c r="C7" s="11">
        <f>VLOOKUP(A7,Dataset!$A$1:$W$40,$K$6,0)</f>
        <v>7.6</v>
      </c>
      <c r="D7" s="11">
        <f>VLOOKUP(A7,Dataset!$A$1:$W$40,$L$6,0)</f>
        <v>4.2</v>
      </c>
      <c r="E7" s="11">
        <f>VLOOKUP(A7,Dataset!$A$1:$W$40,$M$6,0)</f>
        <v>8.9</v>
      </c>
      <c r="F7" s="11">
        <f>VLOOKUP(A7,Dataset!$A$1:$W$40,$N$6,0)</f>
        <v>4.2</v>
      </c>
    </row>
    <row r="8" spans="1:14" ht="14.4" x14ac:dyDescent="0.3">
      <c r="A8" s="7" t="s">
        <v>7</v>
      </c>
      <c r="B8" s="11">
        <f>VLOOKUP(A8,Dataset!$A$1:$W$40,$J$6,0)</f>
        <v>3.6</v>
      </c>
      <c r="C8" s="11">
        <f>VLOOKUP(A8,Dataset!$A$1:$W$40,$K$6,0)</f>
        <v>11.1</v>
      </c>
      <c r="D8" s="11">
        <f>VLOOKUP(A8,Dataset!$A$1:$W$40,$L$6,0)</f>
        <v>5.8</v>
      </c>
      <c r="E8" s="11">
        <f>VLOOKUP(A8,Dataset!$A$1:$W$40,$M$6,0)</f>
        <v>12.2</v>
      </c>
      <c r="F8" s="11">
        <f>VLOOKUP(A8,Dataset!$A$1:$W$40,$N$6,0)</f>
        <v>5.8</v>
      </c>
    </row>
    <row r="9" spans="1:14" ht="14.4" x14ac:dyDescent="0.3">
      <c r="A9" s="7" t="s">
        <v>8</v>
      </c>
      <c r="B9" s="11">
        <f>VLOOKUP(A9,Dataset!$A$1:$W$40,$J$6,0)</f>
        <v>4.9000000000000004</v>
      </c>
      <c r="C9" s="11">
        <f>VLOOKUP(A9,Dataset!$A$1:$W$40,$K$6,0)</f>
        <v>13.3</v>
      </c>
      <c r="D9" s="11">
        <f>VLOOKUP(A9,Dataset!$A$1:$W$40,$L$6,0)</f>
        <v>8.1</v>
      </c>
      <c r="E9" s="11">
        <f>VLOOKUP(A9,Dataset!$A$1:$W$40,$M$6,0)</f>
        <v>17</v>
      </c>
      <c r="F9" s="11">
        <f>VLOOKUP(A9,Dataset!$A$1:$W$40,$N$6,0)</f>
        <v>8.1</v>
      </c>
    </row>
    <row r="10" spans="1:14" ht="14.4" x14ac:dyDescent="0.3">
      <c r="A10" s="7" t="s">
        <v>11</v>
      </c>
      <c r="B10" s="11">
        <f>VLOOKUP(A10,Dataset!$A$1:$W$40,$J$6,0)</f>
        <v>9.4</v>
      </c>
      <c r="C10" s="11">
        <f>VLOOKUP(A10,Dataset!$A$1:$W$40,$K$6,0)</f>
        <v>28.3</v>
      </c>
      <c r="D10" s="11">
        <f>VLOOKUP(A10,Dataset!$A$1:$W$40,$L$6,0)</f>
        <v>16.100000000000001</v>
      </c>
      <c r="E10" s="11">
        <f>VLOOKUP(A10,Dataset!$A$1:$W$40,$M$6,0)</f>
        <v>32.799999999999997</v>
      </c>
      <c r="F10" s="11">
        <f>VLOOKUP(A10,Dataset!$A$1:$W$40,$N$6,0)</f>
        <v>16.100000000000001</v>
      </c>
    </row>
    <row r="11" spans="1:14" ht="14.4" x14ac:dyDescent="0.3">
      <c r="A11" s="7" t="s">
        <v>12</v>
      </c>
      <c r="B11" s="11">
        <f>VLOOKUP(A11,Dataset!$A$1:$W$40,$J$6,0)</f>
        <v>11.6</v>
      </c>
      <c r="C11" s="11">
        <f>VLOOKUP(A11,Dataset!$A$1:$W$40,$K$6,0)</f>
        <v>35.200000000000003</v>
      </c>
      <c r="D11" s="11">
        <f>VLOOKUP(A11,Dataset!$A$1:$W$40,$L$6,0)</f>
        <v>21.3</v>
      </c>
      <c r="E11" s="11">
        <f>VLOOKUP(A11,Dataset!$A$1:$W$40,$M$6,0)</f>
        <v>43</v>
      </c>
      <c r="F11" s="11">
        <f>VLOOKUP(A11,Dataset!$A$1:$W$40,$N$6,0)</f>
        <v>21.3</v>
      </c>
    </row>
    <row r="12" spans="1:14" ht="14.4" x14ac:dyDescent="0.3">
      <c r="A12" s="7" t="s">
        <v>14</v>
      </c>
      <c r="B12" s="11">
        <f>VLOOKUP(A12,Dataset!$A$1:$W$40,$J$6,0)</f>
        <v>18.399999999999999</v>
      </c>
      <c r="C12" s="11">
        <f>VLOOKUP(A12,Dataset!$A$1:$W$40,$K$6,0)</f>
        <v>55.6</v>
      </c>
      <c r="D12" s="11">
        <f>VLOOKUP(A12,Dataset!$A$1:$W$40,$L$6,0)</f>
        <v>33.799999999999997</v>
      </c>
      <c r="E12" s="11">
        <f>VLOOKUP(A12,Dataset!$A$1:$W$40,$M$6,0)</f>
        <v>67.900000000000006</v>
      </c>
      <c r="F12" s="11">
        <f>VLOOKUP(A12,Dataset!$A$1:$W$40,$N$6,0)</f>
        <v>33.799999999999997</v>
      </c>
    </row>
    <row r="13" spans="1:14" ht="14.4" x14ac:dyDescent="0.3">
      <c r="A13" s="7" t="s">
        <v>15</v>
      </c>
      <c r="B13" s="11">
        <f>VLOOKUP(A13,Dataset!$A$1:$W$40,$J$6,0)</f>
        <v>0</v>
      </c>
      <c r="C13" s="11">
        <f>VLOOKUP(A13,Dataset!$A$1:$W$40,$K$6,0)</f>
        <v>0</v>
      </c>
      <c r="D13" s="11">
        <f>VLOOKUP(A13,Dataset!$A$1:$W$40,$L$6,0)</f>
        <v>0</v>
      </c>
      <c r="E13" s="11">
        <f>VLOOKUP(A13,Dataset!$A$1:$W$40,$M$6,0)</f>
        <v>0</v>
      </c>
      <c r="F13" s="11">
        <f>VLOOKUP(A13,Dataset!$A$1:$W$40,$N$6,0)</f>
        <v>0</v>
      </c>
    </row>
    <row r="14" spans="1:14" ht="14.4" x14ac:dyDescent="0.3">
      <c r="A14" s="7" t="s">
        <v>16</v>
      </c>
      <c r="B14" s="11">
        <f>VLOOKUP(A14,Dataset!$A$1:$W$40,$J$6,0)</f>
        <v>21.9</v>
      </c>
      <c r="C14" s="11">
        <f>VLOOKUP(A14,Dataset!$A$1:$W$40,$K$6,0)</f>
        <v>61.5</v>
      </c>
      <c r="D14" s="11">
        <f>VLOOKUP(A14,Dataset!$A$1:$W$40,$L$6,0)</f>
        <v>40.1</v>
      </c>
      <c r="E14" s="11">
        <f>VLOOKUP(A14,Dataset!$A$1:$W$40,$M$6,0)</f>
        <v>76.599999999999994</v>
      </c>
      <c r="F14" s="11">
        <f>VLOOKUP(A14,Dataset!$A$1:$W$40,$N$6,0)</f>
        <v>40.1</v>
      </c>
    </row>
    <row r="15" spans="1:14" ht="14.4" x14ac:dyDescent="0.3">
      <c r="A15" s="7" t="s">
        <v>18</v>
      </c>
      <c r="B15" s="11">
        <f>VLOOKUP(A15,Dataset!$A$1:$W$40,$J$6,0)</f>
        <v>26.8</v>
      </c>
      <c r="C15" s="11">
        <f>VLOOKUP(A15,Dataset!$A$1:$W$40,$K$6,0)</f>
        <v>79.599999999999994</v>
      </c>
      <c r="D15" s="11">
        <f>VLOOKUP(A15,Dataset!$A$1:$W$40,$L$6,0)</f>
        <v>47.9</v>
      </c>
      <c r="E15" s="11">
        <f>VLOOKUP(A15,Dataset!$A$1:$W$40,$M$6,0)</f>
        <v>96.8</v>
      </c>
      <c r="F15" s="11">
        <f>VLOOKUP(A15,Dataset!$A$1:$W$40,$N$6,0)</f>
        <v>47.9</v>
      </c>
    </row>
    <row r="16" spans="1:14" ht="14.4" x14ac:dyDescent="0.3">
      <c r="A16" s="7" t="s">
        <v>20</v>
      </c>
      <c r="B16" s="11">
        <f>VLOOKUP(A16,Dataset!$A$1:$W$40,$J$6,0)</f>
        <v>28.5</v>
      </c>
      <c r="C16" s="11">
        <f>VLOOKUP(A16,Dataset!$A$1:$W$40,$K$6,0)</f>
        <v>85.4</v>
      </c>
      <c r="D16" s="11">
        <f>VLOOKUP(A16,Dataset!$A$1:$W$40,$L$6,0)</f>
        <v>52.3</v>
      </c>
      <c r="E16" s="11">
        <f>VLOOKUP(A16,Dataset!$A$1:$W$40,$M$6,0)</f>
        <v>106.1</v>
      </c>
      <c r="F16" s="11">
        <f>VLOOKUP(A16,Dataset!$A$1:$W$40,$N$6,0)</f>
        <v>52.3</v>
      </c>
    </row>
    <row r="17" spans="1:6" ht="14.4" x14ac:dyDescent="0.3">
      <c r="A17" s="7" t="s">
        <v>22</v>
      </c>
      <c r="B17" s="11">
        <f>VLOOKUP(A17,Dataset!$A$1:$W$40,$J$6,0)</f>
        <v>30.7</v>
      </c>
      <c r="C17" s="11">
        <f>VLOOKUP(A17,Dataset!$A$1:$W$40,$K$6,0)</f>
        <v>92.1</v>
      </c>
      <c r="D17" s="11">
        <f>VLOOKUP(A17,Dataset!$A$1:$W$40,$L$6,0)</f>
        <v>57</v>
      </c>
      <c r="E17" s="11">
        <f>VLOOKUP(A17,Dataset!$A$1:$W$40,$M$6,0)</f>
        <v>115.1</v>
      </c>
      <c r="F17" s="11">
        <f>VLOOKUP(A17,Dataset!$A$1:$W$40,$N$6,0)</f>
        <v>57</v>
      </c>
    </row>
    <row r="18" spans="1:6" ht="14.4" x14ac:dyDescent="0.3">
      <c r="A18" s="7" t="s">
        <v>23</v>
      </c>
      <c r="B18" s="11">
        <f>VLOOKUP(A18,Dataset!$A$1:$W$40,$J$6,0)</f>
        <v>33.799999999999997</v>
      </c>
      <c r="C18" s="11">
        <f>VLOOKUP(A18,Dataset!$A$1:$W$40,$K$6,0)</f>
        <v>101.3</v>
      </c>
      <c r="D18" s="11">
        <f>VLOOKUP(A18,Dataset!$A$1:$W$40,$L$6,0)</f>
        <v>61.4</v>
      </c>
      <c r="E18" s="11">
        <f>VLOOKUP(A18,Dataset!$A$1:$W$40,$M$6,0)</f>
        <v>124.4</v>
      </c>
      <c r="F18" s="11">
        <f>VLOOKUP(A18,Dataset!$A$1:$W$40,$N$6,0)</f>
        <v>61.4</v>
      </c>
    </row>
    <row r="19" spans="1:6" ht="14.4" x14ac:dyDescent="0.3">
      <c r="A19" s="7" t="s">
        <v>24</v>
      </c>
      <c r="B19" s="11">
        <f>VLOOKUP(A19,Dataset!$A$1:$W$40,$J$6,0)</f>
        <v>34.700000000000003</v>
      </c>
      <c r="C19" s="11">
        <f>VLOOKUP(A19,Dataset!$A$1:$W$40,$K$6,0)</f>
        <v>106.1</v>
      </c>
      <c r="D19" s="11">
        <f>VLOOKUP(A19,Dataset!$A$1:$W$40,$L$6,0)</f>
        <v>63.6</v>
      </c>
      <c r="E19" s="11">
        <f>VLOOKUP(A19,Dataset!$A$1:$W$40,$M$6,0)</f>
        <v>128.6</v>
      </c>
      <c r="F19" s="11">
        <f>VLOOKUP(A19,Dataset!$A$1:$W$40,$N$6,0)</f>
        <v>63.6</v>
      </c>
    </row>
    <row r="20" spans="1:6" ht="14.4" x14ac:dyDescent="0.3">
      <c r="A20" s="7" t="s">
        <v>28</v>
      </c>
      <c r="B20" s="11">
        <f>VLOOKUP(A20,Dataset!$A$1:$W$40,$J$6,0)</f>
        <v>0</v>
      </c>
      <c r="C20" s="11">
        <f>VLOOKUP(A20,Dataset!$A$1:$W$40,$K$6,0)</f>
        <v>0</v>
      </c>
      <c r="D20" s="11">
        <f>VLOOKUP(A20,Dataset!$A$1:$W$40,$L$6,0)</f>
        <v>0</v>
      </c>
      <c r="E20" s="11">
        <f>VLOOKUP(A20,Dataset!$A$1:$W$40,$M$6,0)</f>
        <v>0</v>
      </c>
      <c r="F20" s="11">
        <f>VLOOKUP(A20,Dataset!$A$1:$W$40,$N$6,0)</f>
        <v>0</v>
      </c>
    </row>
    <row r="21" spans="1:6" ht="14.4" x14ac:dyDescent="0.3">
      <c r="A21" s="7" t="s">
        <v>57</v>
      </c>
      <c r="B21" s="11">
        <f>VLOOKUP(A21,Dataset!$A$1:$W$40,$J$6,0)</f>
        <v>41.3</v>
      </c>
      <c r="C21" s="11">
        <f>VLOOKUP(A21,Dataset!$A$1:$W$40,$K$6,0)</f>
        <v>124.4</v>
      </c>
      <c r="D21" s="11">
        <f>VLOOKUP(A21,Dataset!$A$1:$W$40,$L$6,0)</f>
        <v>75</v>
      </c>
      <c r="E21" s="11">
        <f>VLOOKUP(A21,Dataset!$A$1:$W$40,$M$6,0)</f>
        <v>151.5</v>
      </c>
      <c r="F21" s="11">
        <f>VLOOKUP(A21,Dataset!$A$1:$W$40,$N$6,0)</f>
        <v>75</v>
      </c>
    </row>
    <row r="22" spans="1:6" ht="14.4" x14ac:dyDescent="0.3">
      <c r="A22" s="7" t="s">
        <v>58</v>
      </c>
      <c r="B22" s="11">
        <f>VLOOKUP(A22,Dataset!$A$1:$W$40,$J$6,0)</f>
        <v>-1</v>
      </c>
      <c r="C22" s="11">
        <f>VLOOKUP(A22,Dataset!$A$1:$W$40,$K$6,0)</f>
        <v>-1</v>
      </c>
      <c r="D22" s="11">
        <f>VLOOKUP(A22,Dataset!$A$1:$W$40,$L$6,0)</f>
        <v>-1</v>
      </c>
      <c r="E22" s="11">
        <f>VLOOKUP(A22,Dataset!$A$1:$W$40,$M$6,0)</f>
        <v>-1</v>
      </c>
      <c r="F22" s="11">
        <f>VLOOKUP(A22,Dataset!$A$1:$W$40,$N$6,0)</f>
        <v>-1</v>
      </c>
    </row>
    <row r="23" spans="1:6" ht="14.4" x14ac:dyDescent="0.3">
      <c r="A23" s="7" t="s">
        <v>31</v>
      </c>
      <c r="B23" s="11">
        <f>VLOOKUP(A23,Dataset!$A$1:$W$40,$J$6,0)</f>
        <v>45</v>
      </c>
      <c r="C23" s="11">
        <f>VLOOKUP(A23,Dataset!$A$1:$W$40,$K$6,0)</f>
        <v>133.4</v>
      </c>
      <c r="D23" s="11">
        <f>VLOOKUP(A23,Dataset!$A$1:$W$40,$L$6,0)</f>
        <v>79.400000000000006</v>
      </c>
      <c r="E23" s="11">
        <f>VLOOKUP(A23,Dataset!$A$1:$W$40,$M$6,0)</f>
        <v>160.9</v>
      </c>
      <c r="F23" s="11">
        <f>VLOOKUP(A23,Dataset!$A$1:$W$40,$N$6,0)</f>
        <v>79.400000000000006</v>
      </c>
    </row>
    <row r="24" spans="1:6" ht="14.4" x14ac:dyDescent="0.3">
      <c r="A24" s="7" t="s">
        <v>32</v>
      </c>
      <c r="B24" s="11">
        <f>VLOOKUP(A24,Dataset!$A$1:$W$40,$J$6,0)</f>
        <v>-1</v>
      </c>
      <c r="C24" s="11">
        <f>VLOOKUP(A24,Dataset!$A$1:$W$40,$K$6,0)</f>
        <v>-1</v>
      </c>
      <c r="D24" s="11">
        <f>VLOOKUP(A24,Dataset!$A$1:$W$40,$L$6,0)</f>
        <v>-1</v>
      </c>
      <c r="E24" s="11">
        <f>VLOOKUP(A24,Dataset!$A$1:$W$40,$M$6,0)</f>
        <v>-1</v>
      </c>
      <c r="F24" s="11">
        <f>VLOOKUP(A24,Dataset!$A$1:$W$40,$N$6,0)</f>
        <v>-1</v>
      </c>
    </row>
    <row r="25" spans="1:6" ht="14.4" x14ac:dyDescent="0.3">
      <c r="A25" s="7" t="s">
        <v>34</v>
      </c>
      <c r="B25" s="11">
        <f>VLOOKUP(A25,Dataset!$A$1:$W$40,$J$6,0)</f>
        <v>43.3</v>
      </c>
      <c r="C25" s="11">
        <f>VLOOKUP(A25,Dataset!$A$1:$W$40,$K$6,0)</f>
        <v>128.6</v>
      </c>
      <c r="D25" s="11">
        <f>VLOOKUP(A25,Dataset!$A$1:$W$40,$L$6,0)</f>
        <v>79.400000000000006</v>
      </c>
      <c r="E25" s="11">
        <f>VLOOKUP(A25,Dataset!$A$1:$W$40,$M$6,0)</f>
        <v>160.9</v>
      </c>
      <c r="F25" s="11">
        <f>VLOOKUP(A25,Dataset!$A$1:$W$40,$N$6,0)</f>
        <v>79.400000000000006</v>
      </c>
    </row>
    <row r="26" spans="1:6" ht="14.4" x14ac:dyDescent="0.3">
      <c r="A26" s="7" t="s">
        <v>37</v>
      </c>
      <c r="B26" s="11">
        <f>VLOOKUP(A26,Dataset!$A$1:$W$40,$J$6,0)</f>
        <v>49.1</v>
      </c>
      <c r="C26" s="11">
        <f>VLOOKUP(A26,Dataset!$A$1:$W$40,$K$6,0)</f>
        <v>146.80000000000001</v>
      </c>
      <c r="D26" s="11">
        <f>VLOOKUP(A26,Dataset!$A$1:$W$40,$L$6,0)</f>
        <v>90.9</v>
      </c>
      <c r="E26" s="11">
        <f>VLOOKUP(A26,Dataset!$A$1:$W$40,$M$6,0)</f>
        <v>183.5</v>
      </c>
      <c r="F26" s="11">
        <f>VLOOKUP(A26,Dataset!$A$1:$W$40,$N$6,0)</f>
        <v>90.9</v>
      </c>
    </row>
    <row r="27" spans="1:6" ht="14.4" x14ac:dyDescent="0.3">
      <c r="A27" s="7" t="s">
        <v>39</v>
      </c>
      <c r="B27" s="11">
        <f>VLOOKUP(A27,Dataset!$A$1:$W$40,$J$6,0)</f>
        <v>51.8</v>
      </c>
      <c r="C27" s="11">
        <f>VLOOKUP(A27,Dataset!$A$1:$W$40,$K$6,0)</f>
        <v>156.4</v>
      </c>
      <c r="D27" s="11">
        <f>VLOOKUP(A27,Dataset!$A$1:$W$40,$L$6,0)</f>
        <v>93.1</v>
      </c>
      <c r="E27" s="11">
        <f>VLOOKUP(A27,Dataset!$A$1:$W$40,$M$6,0)</f>
        <v>188.1</v>
      </c>
      <c r="F27" s="11">
        <f>VLOOKUP(A27,Dataset!$A$1:$W$40,$N$6,0)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ROUND(AVERAGE(B6:B27),2)</f>
        <v>20.83</v>
      </c>
      <c r="C30" s="30">
        <f t="shared" ref="C30:F30" si="2">ROUND(AVERAGE(C6:C27),2)</f>
        <v>62.38</v>
      </c>
      <c r="D30" s="30">
        <f t="shared" si="2"/>
        <v>37.799999999999997</v>
      </c>
      <c r="E30" s="30">
        <f t="shared" si="2"/>
        <v>76.42</v>
      </c>
      <c r="F30" s="30">
        <f t="shared" si="2"/>
        <v>37.799999999999997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D6" sqref="D6"/>
    </sheetView>
  </sheetViews>
  <sheetFormatPr defaultColWidth="11" defaultRowHeight="14.4" x14ac:dyDescent="0.3"/>
  <cols>
    <col min="1" max="1" width="39.77734375" style="1" bestFit="1" customWidth="1"/>
    <col min="2" max="2" width="25" style="1" customWidth="1"/>
    <col min="3" max="16384" width="11" style="1"/>
  </cols>
  <sheetData>
    <row r="1" spans="1:10" s="40" customFormat="1" ht="21" x14ac:dyDescent="0.4">
      <c r="A1" s="41" t="s">
        <v>56</v>
      </c>
      <c r="B1" s="40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2" t="s">
        <v>53</v>
      </c>
      <c r="B5" s="39" t="s">
        <v>181</v>
      </c>
    </row>
    <row r="6" spans="1:10" ht="108" x14ac:dyDescent="0.35">
      <c r="A6" s="42" t="s">
        <v>153</v>
      </c>
      <c r="B6" s="47" t="s">
        <v>182</v>
      </c>
    </row>
    <row r="7" spans="1:10" ht="18" x14ac:dyDescent="0.35">
      <c r="A7" s="42"/>
      <c r="B7" s="39"/>
    </row>
    <row r="9" spans="1:10" ht="23.4" x14ac:dyDescent="0.45">
      <c r="A9" s="17" t="s">
        <v>165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10"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33.44140625" style="2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167</v>
      </c>
    </row>
    <row r="2" spans="1:3" ht="18" x14ac:dyDescent="0.35">
      <c r="B2" s="39" t="s">
        <v>166</v>
      </c>
    </row>
    <row r="5" spans="1:3" ht="14.4" x14ac:dyDescent="0.3">
      <c r="B5" s="1" t="s">
        <v>151</v>
      </c>
    </row>
    <row r="6" spans="1:3" ht="57.6" x14ac:dyDescent="0.3">
      <c r="A6" s="3" t="s">
        <v>53</v>
      </c>
      <c r="B6" s="46" t="s">
        <v>179</v>
      </c>
    </row>
    <row r="7" spans="1:3" ht="216" x14ac:dyDescent="0.3">
      <c r="A7" s="3" t="s">
        <v>153</v>
      </c>
      <c r="B7" s="46" t="s">
        <v>180</v>
      </c>
    </row>
    <row r="10" spans="1:3" ht="23.4" x14ac:dyDescent="0.45">
      <c r="A10" s="17" t="s">
        <v>162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154</v>
      </c>
      <c r="C17" s="16">
        <v>150</v>
      </c>
    </row>
    <row r="18" spans="1:3" ht="14.4" x14ac:dyDescent="0.3">
      <c r="A18" s="31">
        <v>44933</v>
      </c>
      <c r="B18" s="16" t="s">
        <v>155</v>
      </c>
      <c r="C18" s="16">
        <v>80</v>
      </c>
    </row>
    <row r="19" spans="1:3" ht="14.4" x14ac:dyDescent="0.3">
      <c r="A19" s="31">
        <v>44934</v>
      </c>
      <c r="B19" s="16" t="s">
        <v>156</v>
      </c>
      <c r="C19" s="16" t="e">
        <v>#N/A</v>
      </c>
    </row>
    <row r="20" spans="1:3" ht="14.4" x14ac:dyDescent="0.3">
      <c r="A20" s="31">
        <v>44935</v>
      </c>
      <c r="B20" s="16" t="s">
        <v>157</v>
      </c>
      <c r="C20" s="16">
        <v>30</v>
      </c>
    </row>
    <row r="21" spans="1:3" ht="14.4" x14ac:dyDescent="0.3">
      <c r="A21" s="31">
        <v>44936</v>
      </c>
      <c r="B21" s="16" t="s">
        <v>158</v>
      </c>
      <c r="C21" s="16" t="e">
        <v>#N/A</v>
      </c>
    </row>
    <row r="22" spans="1:3" ht="14.4" x14ac:dyDescent="0.3">
      <c r="B22" s="16" t="s">
        <v>159</v>
      </c>
      <c r="C22" s="24">
        <f>SUMIFS(C12:C21,C12:C21,"&lt;&gt;#N/A")+(COUNTIF(C12:C21,"#N/A")*20)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7" zoomScaleNormal="100" workbookViewId="0">
      <selection activeCell="K6" sqref="K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175</v>
      </c>
    </row>
    <row r="3" spans="1:14" ht="14.4" x14ac:dyDescent="0.3">
      <c r="B3" s="1" t="s">
        <v>151</v>
      </c>
    </row>
    <row r="4" spans="1:14" ht="18" x14ac:dyDescent="0.35">
      <c r="A4" s="42" t="s">
        <v>53</v>
      </c>
      <c r="B4" s="1"/>
    </row>
    <row r="5" spans="1:14" ht="18" x14ac:dyDescent="0.35">
      <c r="A5" s="42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168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/>
    </row>
    <row r="24" spans="1:14" ht="14.4" x14ac:dyDescent="0.3">
      <c r="A24" s="7">
        <v>10100</v>
      </c>
      <c r="B24" s="11">
        <v>10104</v>
      </c>
      <c r="C24" s="43"/>
    </row>
    <row r="25" spans="1:14" ht="14.4" x14ac:dyDescent="0.3">
      <c r="A25" s="7">
        <v>10108</v>
      </c>
      <c r="B25" s="11">
        <v>10102</v>
      </c>
      <c r="C25" s="43"/>
    </row>
    <row r="26" spans="1:14" ht="14.4" x14ac:dyDescent="0.3">
      <c r="A26" s="7">
        <v>10100</v>
      </c>
      <c r="B26" s="11">
        <v>10106</v>
      </c>
      <c r="C26" s="43"/>
    </row>
    <row r="27" spans="1:14" ht="14.4" x14ac:dyDescent="0.3">
      <c r="A27" s="7">
        <v>10108</v>
      </c>
      <c r="B27" s="11">
        <v>10110</v>
      </c>
      <c r="C27" s="43"/>
    </row>
    <row r="28" spans="1:14" ht="14.4" x14ac:dyDescent="0.3">
      <c r="A28" s="7">
        <v>10102</v>
      </c>
      <c r="B28" s="11">
        <v>10104</v>
      </c>
      <c r="C28" s="43"/>
    </row>
    <row r="29" spans="1:14" ht="14.4" x14ac:dyDescent="0.3">
      <c r="A29" s="7">
        <v>10106</v>
      </c>
      <c r="B29" s="11">
        <v>10108</v>
      </c>
      <c r="C29" s="43"/>
    </row>
    <row r="30" spans="1:14" ht="14.4" x14ac:dyDescent="0.3">
      <c r="A30" s="7">
        <v>10102</v>
      </c>
      <c r="B30" s="11">
        <v>10106</v>
      </c>
      <c r="C30" s="43"/>
    </row>
    <row r="31" spans="1:14" ht="14.4" x14ac:dyDescent="0.3">
      <c r="A31" s="7">
        <v>10110</v>
      </c>
      <c r="B31" s="11">
        <v>10114</v>
      </c>
      <c r="C31" s="43"/>
    </row>
    <row r="32" spans="1:14" ht="14.4" x14ac:dyDescent="0.3">
      <c r="A32" s="7">
        <v>10104</v>
      </c>
      <c r="B32" s="11">
        <v>10106</v>
      </c>
      <c r="C32" s="43"/>
    </row>
    <row r="33" spans="1:3" ht="14.4" x14ac:dyDescent="0.3">
      <c r="A33" s="7">
        <v>10110</v>
      </c>
      <c r="B33" s="11">
        <v>10112</v>
      </c>
      <c r="C33" s="43"/>
    </row>
    <row r="34" spans="1:3" ht="14.4" x14ac:dyDescent="0.3">
      <c r="A34" s="7">
        <v>10100</v>
      </c>
      <c r="B34" s="11">
        <v>10114</v>
      </c>
      <c r="C34" s="43"/>
    </row>
    <row r="35" spans="1:3" ht="14.4" x14ac:dyDescent="0.3">
      <c r="A35" s="8">
        <v>10112</v>
      </c>
      <c r="B35" s="12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sohamsbcspl@gmail.com</cp:lastModifiedBy>
  <dcterms:created xsi:type="dcterms:W3CDTF">2015-02-10T17:33:11Z</dcterms:created>
  <dcterms:modified xsi:type="dcterms:W3CDTF">2023-12-09T07:02:32Z</dcterms:modified>
</cp:coreProperties>
</file>